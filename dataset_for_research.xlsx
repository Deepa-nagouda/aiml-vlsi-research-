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kshita\OneDrive\Desktop\"/>
    </mc:Choice>
  </mc:AlternateContent>
  <xr:revisionPtr revIDLastSave="0" documentId="8_{D5943564-F678-4412-B4FE-73D599D7A461}" xr6:coauthVersionLast="47" xr6:coauthVersionMax="47" xr10:uidLastSave="{00000000-0000-0000-0000-000000000000}"/>
  <bookViews>
    <workbookView xWindow="-98" yWindow="-98" windowWidth="21795" windowHeight="13695" xr2:uid="{0C9EB534-10DA-48FB-A807-B0A5095C51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" i="1" l="1"/>
  <c r="T4" i="1"/>
  <c r="T5" i="1"/>
  <c r="T7" i="1"/>
  <c r="T8" i="1"/>
  <c r="T9" i="1"/>
  <c r="T10" i="1"/>
  <c r="T11" i="1"/>
  <c r="T12" i="1"/>
  <c r="T3" i="1"/>
  <c r="S4" i="1"/>
  <c r="S5" i="1"/>
  <c r="S6" i="1"/>
  <c r="S7" i="1"/>
  <c r="S8" i="1"/>
  <c r="S9" i="1"/>
  <c r="S10" i="1"/>
  <c r="S11" i="1"/>
  <c r="S12" i="1"/>
  <c r="S3" i="1"/>
  <c r="R6" i="1"/>
  <c r="R7" i="1"/>
  <c r="R8" i="1"/>
  <c r="R9" i="1"/>
  <c r="R10" i="1"/>
  <c r="R11" i="1"/>
  <c r="R12" i="1"/>
  <c r="R5" i="1"/>
  <c r="R3" i="1"/>
  <c r="R4" i="1"/>
  <c r="N3" i="1"/>
  <c r="M4" i="1"/>
  <c r="M3" i="1"/>
  <c r="M6" i="1"/>
  <c r="O3" i="1"/>
  <c r="N4" i="1"/>
  <c r="O4" i="1"/>
  <c r="N5" i="1"/>
  <c r="O5" i="1"/>
  <c r="N6" i="1"/>
  <c r="O6" i="1"/>
  <c r="N7" i="1"/>
  <c r="O7" i="1"/>
  <c r="N8" i="1"/>
  <c r="O8" i="1"/>
  <c r="N9" i="1"/>
  <c r="O9" i="1"/>
  <c r="N10" i="1"/>
  <c r="O10" i="1"/>
  <c r="N11" i="1"/>
  <c r="O11" i="1"/>
  <c r="N12" i="1"/>
  <c r="O12" i="1"/>
  <c r="M5" i="1"/>
  <c r="M7" i="1"/>
  <c r="M8" i="1"/>
  <c r="M9" i="1"/>
  <c r="M10" i="1"/>
  <c r="M11" i="1"/>
  <c r="M12" i="1"/>
</calcChain>
</file>

<file path=xl/sharedStrings.xml><?xml version="1.0" encoding="utf-8"?>
<sst xmlns="http://schemas.openxmlformats.org/spreadsheetml/2006/main" count="33" uniqueCount="15">
  <si>
    <t>Temp</t>
  </si>
  <si>
    <t>2 i/p NAND</t>
  </si>
  <si>
    <t>2 i/p NOR</t>
  </si>
  <si>
    <t>Static Power</t>
  </si>
  <si>
    <t>00</t>
  </si>
  <si>
    <t>01</t>
  </si>
  <si>
    <t>10</t>
  </si>
  <si>
    <t>11</t>
  </si>
  <si>
    <t>Total Avg Power(in pW)</t>
  </si>
  <si>
    <t>Static Power (worst case) in pW</t>
  </si>
  <si>
    <t>Dynamic Power (Worst case) in  pW</t>
  </si>
  <si>
    <t>Average Dynamic Power in pW</t>
  </si>
  <si>
    <t>Inverter</t>
  </si>
  <si>
    <t>NAND</t>
  </si>
  <si>
    <t>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</si>
</sst>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8DD91-8EC5-4D02-ADFA-3550B33EFC83}">
  <dimension ref="A1:T27"/>
  <sheetViews>
    <sheetView tabSelected="1" workbookViewId="0">
      <selection activeCell="T4" sqref="T4"/>
    </sheetView>
  </sheetViews>
  <sheetFormatPr defaultRowHeight="14.25" x14ac:dyDescent="0.45"/>
  <sheetData>
    <row r="1" spans="1:20" x14ac:dyDescent="0.45">
      <c r="B1" s="2" t="s">
        <v>8</v>
      </c>
      <c r="C1" s="2"/>
      <c r="D1" s="2"/>
      <c r="H1" s="2" t="s">
        <v>9</v>
      </c>
      <c r="I1" s="2"/>
      <c r="J1" s="2"/>
      <c r="M1" s="2" t="s">
        <v>10</v>
      </c>
      <c r="N1" s="2"/>
      <c r="O1" s="2"/>
      <c r="R1" s="2" t="s">
        <v>11</v>
      </c>
      <c r="S1" s="2"/>
      <c r="T1" s="2"/>
    </row>
    <row r="2" spans="1:20" x14ac:dyDescent="0.45">
      <c r="A2" t="s">
        <v>0</v>
      </c>
      <c r="B2" t="s">
        <v>12</v>
      </c>
      <c r="C2" t="s">
        <v>1</v>
      </c>
      <c r="D2" t="s">
        <v>2</v>
      </c>
      <c r="G2" t="s">
        <v>0</v>
      </c>
      <c r="H2" t="s">
        <v>12</v>
      </c>
      <c r="I2" t="s">
        <v>1</v>
      </c>
      <c r="J2" t="s">
        <v>2</v>
      </c>
      <c r="L2" t="s">
        <v>0</v>
      </c>
      <c r="M2" t="s">
        <v>12</v>
      </c>
      <c r="N2" t="s">
        <v>1</v>
      </c>
      <c r="O2" t="s">
        <v>2</v>
      </c>
      <c r="Q2" t="s">
        <v>0</v>
      </c>
      <c r="R2" t="s">
        <v>12</v>
      </c>
      <c r="S2" t="s">
        <v>13</v>
      </c>
      <c r="T2" t="s">
        <v>14</v>
      </c>
    </row>
    <row r="3" spans="1:20" x14ac:dyDescent="0.45">
      <c r="A3">
        <v>-40</v>
      </c>
      <c r="B3">
        <v>1712</v>
      </c>
      <c r="C3">
        <v>7525</v>
      </c>
      <c r="D3">
        <v>8214</v>
      </c>
      <c r="G3">
        <v>-40</v>
      </c>
      <c r="H3">
        <v>3.847</v>
      </c>
      <c r="I3">
        <v>6.4960000000000004</v>
      </c>
      <c r="J3">
        <v>13.57</v>
      </c>
      <c r="L3">
        <v>-40</v>
      </c>
      <c r="M3">
        <f>B3-H3</f>
        <v>1708.153</v>
      </c>
      <c r="N3">
        <f>C3-I3</f>
        <v>7518.5039999999999</v>
      </c>
      <c r="O3">
        <f t="shared" ref="N3:O12" si="0">D3-J3</f>
        <v>8200.43</v>
      </c>
      <c r="Q3">
        <v>-40</v>
      </c>
      <c r="R3">
        <f>B3-(B18+C18)/2</f>
        <v>1709.57945</v>
      </c>
      <c r="S3">
        <f>C3-(D18+E18+F18+G18)/4</f>
        <v>7520.7612499999996</v>
      </c>
      <c r="T3">
        <f>D3-(H18+I18+J18+K18)/4</f>
        <v>8208.3730749999995</v>
      </c>
    </row>
    <row r="4" spans="1:20" x14ac:dyDescent="0.45">
      <c r="A4">
        <v>-20</v>
      </c>
      <c r="B4">
        <v>1750</v>
      </c>
      <c r="C4">
        <v>7720</v>
      </c>
      <c r="D4">
        <v>8510</v>
      </c>
      <c r="G4">
        <v>-20</v>
      </c>
      <c r="H4">
        <v>3.9790000000000001</v>
      </c>
      <c r="I4">
        <v>6.5270000000000001</v>
      </c>
      <c r="J4">
        <v>13.85</v>
      </c>
      <c r="L4">
        <v>-20</v>
      </c>
      <c r="M4">
        <f>B4-H4</f>
        <v>1746.021</v>
      </c>
      <c r="N4">
        <f t="shared" si="0"/>
        <v>7713.473</v>
      </c>
      <c r="O4">
        <f t="shared" si="0"/>
        <v>8496.15</v>
      </c>
      <c r="Q4">
        <v>-20</v>
      </c>
      <c r="R4">
        <f>B4-(B19+C19)/2</f>
        <v>1747.5035</v>
      </c>
      <c r="S4">
        <f t="shared" ref="S4:S12" si="1">C4-(D19+E19+F19+G19)/4</f>
        <v>7715.6262500000003</v>
      </c>
      <c r="T4">
        <f t="shared" ref="T4:T12" si="2">D4-(H19+I19+J19+K19)/4</f>
        <v>8504.2542250000006</v>
      </c>
    </row>
    <row r="5" spans="1:20" x14ac:dyDescent="0.45">
      <c r="A5">
        <v>0</v>
      </c>
      <c r="B5">
        <v>1790</v>
      </c>
      <c r="C5">
        <v>7921</v>
      </c>
      <c r="D5">
        <v>8800</v>
      </c>
      <c r="G5">
        <v>0</v>
      </c>
      <c r="H5">
        <v>4.2969999999999997</v>
      </c>
      <c r="I5">
        <v>6.5890000000000004</v>
      </c>
      <c r="J5">
        <v>14.5</v>
      </c>
      <c r="L5">
        <v>0</v>
      </c>
      <c r="M5">
        <f t="shared" ref="M5:M12" si="3">B5-H5</f>
        <v>1785.703</v>
      </c>
      <c r="N5">
        <f t="shared" si="0"/>
        <v>7914.4110000000001</v>
      </c>
      <c r="O5">
        <f t="shared" si="0"/>
        <v>8785.5</v>
      </c>
      <c r="Q5">
        <v>0</v>
      </c>
      <c r="R5">
        <f>B5-(B20+C20)/2</f>
        <v>1787.2539999999999</v>
      </c>
      <c r="S5">
        <f t="shared" si="1"/>
        <v>7916.2937499999998</v>
      </c>
      <c r="T5">
        <f t="shared" si="2"/>
        <v>8793.9641749999992</v>
      </c>
    </row>
    <row r="6" spans="1:20" x14ac:dyDescent="0.45">
      <c r="A6">
        <v>20</v>
      </c>
      <c r="B6">
        <v>1835</v>
      </c>
      <c r="C6">
        <v>8109</v>
      </c>
      <c r="D6">
        <v>9098</v>
      </c>
      <c r="G6">
        <v>20</v>
      </c>
      <c r="H6">
        <v>4.9829999999999997</v>
      </c>
      <c r="I6">
        <v>6.8049999999999997</v>
      </c>
      <c r="J6">
        <v>15.89</v>
      </c>
      <c r="L6">
        <v>20</v>
      </c>
      <c r="M6">
        <f>B6-H6</f>
        <v>1830.0170000000001</v>
      </c>
      <c r="N6">
        <f t="shared" si="0"/>
        <v>8102.1949999999997</v>
      </c>
      <c r="O6">
        <f t="shared" si="0"/>
        <v>9082.11</v>
      </c>
      <c r="Q6">
        <v>20</v>
      </c>
      <c r="R6">
        <f t="shared" ref="R6:R12" si="4">B6-(B21+C21)/2</f>
        <v>1831.7014999999999</v>
      </c>
      <c r="S6">
        <f t="shared" si="1"/>
        <v>8103.5122499999998</v>
      </c>
      <c r="T6">
        <f>D6-(H21+I21+J21+K21)/4</f>
        <v>9091.2905250000003</v>
      </c>
    </row>
    <row r="7" spans="1:20" x14ac:dyDescent="0.45">
      <c r="A7">
        <v>27</v>
      </c>
      <c r="B7">
        <v>1849</v>
      </c>
      <c r="C7">
        <v>8183</v>
      </c>
      <c r="D7">
        <v>9209</v>
      </c>
      <c r="G7">
        <v>27</v>
      </c>
      <c r="H7">
        <v>5.359</v>
      </c>
      <c r="I7">
        <v>6.9480000000000004</v>
      </c>
      <c r="J7">
        <v>16.649999999999999</v>
      </c>
      <c r="L7">
        <v>27</v>
      </c>
      <c r="M7">
        <f t="shared" si="3"/>
        <v>1843.6410000000001</v>
      </c>
      <c r="N7">
        <f t="shared" si="0"/>
        <v>8176.0519999999997</v>
      </c>
      <c r="O7">
        <f t="shared" si="0"/>
        <v>9192.35</v>
      </c>
      <c r="Q7">
        <v>27</v>
      </c>
      <c r="R7">
        <f t="shared" si="4"/>
        <v>1843.6410000000001</v>
      </c>
      <c r="S7">
        <f t="shared" si="1"/>
        <v>8177.0622499999999</v>
      </c>
      <c r="T7">
        <f t="shared" si="2"/>
        <v>9201.8970000000008</v>
      </c>
    </row>
    <row r="8" spans="1:20" x14ac:dyDescent="0.45">
      <c r="A8">
        <v>40</v>
      </c>
      <c r="B8">
        <v>1882</v>
      </c>
      <c r="C8">
        <v>8309</v>
      </c>
      <c r="D8">
        <v>9403</v>
      </c>
      <c r="G8">
        <v>40</v>
      </c>
      <c r="H8">
        <v>6.3179999999999996</v>
      </c>
      <c r="I8">
        <v>8.0809999999999995</v>
      </c>
      <c r="J8">
        <v>18.57</v>
      </c>
      <c r="L8">
        <v>40</v>
      </c>
      <c r="M8">
        <f t="shared" si="3"/>
        <v>1875.682</v>
      </c>
      <c r="N8">
        <f t="shared" si="0"/>
        <v>8300.9189999999999</v>
      </c>
      <c r="O8">
        <f t="shared" si="0"/>
        <v>9384.43</v>
      </c>
      <c r="Q8">
        <v>40</v>
      </c>
      <c r="R8">
        <f t="shared" si="4"/>
        <v>1877.5425</v>
      </c>
      <c r="S8">
        <f t="shared" si="1"/>
        <v>8301.8714999999993</v>
      </c>
      <c r="T8">
        <f t="shared" si="2"/>
        <v>9394.8402499999993</v>
      </c>
    </row>
    <row r="9" spans="1:20" x14ac:dyDescent="0.45">
      <c r="A9">
        <v>60</v>
      </c>
      <c r="B9">
        <v>1927</v>
      </c>
      <c r="C9">
        <v>8502</v>
      </c>
      <c r="D9">
        <v>9686</v>
      </c>
      <c r="G9">
        <v>60</v>
      </c>
      <c r="H9">
        <v>8.702</v>
      </c>
      <c r="I9">
        <v>11.97</v>
      </c>
      <c r="J9">
        <v>23.36</v>
      </c>
      <c r="L9">
        <v>60</v>
      </c>
      <c r="M9">
        <f t="shared" si="3"/>
        <v>1918.298</v>
      </c>
      <c r="N9">
        <f t="shared" si="0"/>
        <v>8490.0300000000007</v>
      </c>
      <c r="O9">
        <f t="shared" si="0"/>
        <v>9662.64</v>
      </c>
      <c r="Q9">
        <v>60</v>
      </c>
      <c r="R9">
        <f t="shared" si="4"/>
        <v>1920.3240000000001</v>
      </c>
      <c r="S9">
        <f t="shared" si="1"/>
        <v>8491.6997499999998</v>
      </c>
      <c r="T9">
        <f t="shared" si="2"/>
        <v>9674.9752499999995</v>
      </c>
    </row>
    <row r="10" spans="1:20" x14ac:dyDescent="0.45">
      <c r="A10">
        <v>80</v>
      </c>
      <c r="B10">
        <v>1974</v>
      </c>
      <c r="C10">
        <v>8696</v>
      </c>
      <c r="D10">
        <v>9997</v>
      </c>
      <c r="G10">
        <v>80</v>
      </c>
      <c r="H10">
        <v>12.67</v>
      </c>
      <c r="I10">
        <v>18.350000000000001</v>
      </c>
      <c r="J10">
        <v>31.3</v>
      </c>
      <c r="L10">
        <v>80</v>
      </c>
      <c r="M10">
        <f t="shared" si="3"/>
        <v>1961.33</v>
      </c>
      <c r="N10">
        <f t="shared" si="0"/>
        <v>8677.65</v>
      </c>
      <c r="O10">
        <f t="shared" si="0"/>
        <v>9965.7000000000007</v>
      </c>
      <c r="Q10">
        <v>80</v>
      </c>
      <c r="R10">
        <f t="shared" si="4"/>
        <v>1963.377</v>
      </c>
      <c r="S10">
        <f t="shared" si="1"/>
        <v>8680.2574999999997</v>
      </c>
      <c r="T10">
        <f t="shared" si="2"/>
        <v>9980.7605000000003</v>
      </c>
    </row>
    <row r="11" spans="1:20" x14ac:dyDescent="0.45">
      <c r="A11">
        <v>100</v>
      </c>
      <c r="B11">
        <v>2024</v>
      </c>
      <c r="C11">
        <v>8888</v>
      </c>
      <c r="D11">
        <v>10290</v>
      </c>
      <c r="G11">
        <v>100</v>
      </c>
      <c r="H11">
        <v>18.89</v>
      </c>
      <c r="I11">
        <v>30.95</v>
      </c>
      <c r="J11">
        <v>43.76</v>
      </c>
      <c r="L11">
        <v>100</v>
      </c>
      <c r="M11">
        <f t="shared" si="3"/>
        <v>2005.11</v>
      </c>
      <c r="N11">
        <f t="shared" si="0"/>
        <v>8857.0499999999993</v>
      </c>
      <c r="O11">
        <f t="shared" si="0"/>
        <v>10246.24</v>
      </c>
      <c r="Q11">
        <v>100</v>
      </c>
      <c r="R11">
        <f t="shared" si="4"/>
        <v>2006.8150000000001</v>
      </c>
      <c r="S11">
        <f t="shared" si="1"/>
        <v>8863.1924999999992</v>
      </c>
      <c r="T11">
        <f t="shared" si="2"/>
        <v>10265</v>
      </c>
    </row>
    <row r="12" spans="1:20" x14ac:dyDescent="0.45">
      <c r="A12">
        <v>120</v>
      </c>
      <c r="B12">
        <v>2075</v>
      </c>
      <c r="C12">
        <v>9084</v>
      </c>
      <c r="D12">
        <v>10580</v>
      </c>
      <c r="G12">
        <v>120</v>
      </c>
      <c r="H12">
        <v>28.19</v>
      </c>
      <c r="I12">
        <v>53.78</v>
      </c>
      <c r="J12">
        <v>62.38</v>
      </c>
      <c r="L12">
        <v>120</v>
      </c>
      <c r="M12">
        <f t="shared" si="3"/>
        <v>2046.81</v>
      </c>
      <c r="N12">
        <f t="shared" si="0"/>
        <v>9030.2199999999993</v>
      </c>
      <c r="O12">
        <f t="shared" si="0"/>
        <v>10517.62</v>
      </c>
      <c r="Q12">
        <v>120</v>
      </c>
      <c r="R12">
        <f t="shared" si="4"/>
        <v>2047.46</v>
      </c>
      <c r="S12">
        <f t="shared" si="1"/>
        <v>9044.9475000000002</v>
      </c>
      <c r="T12">
        <f t="shared" si="2"/>
        <v>10540.397499999999</v>
      </c>
    </row>
    <row r="15" spans="1:20" x14ac:dyDescent="0.45">
      <c r="B15" s="2" t="s">
        <v>3</v>
      </c>
      <c r="C15" s="2"/>
      <c r="D15" s="2"/>
      <c r="E15" s="2"/>
      <c r="F15" s="2"/>
      <c r="G15" s="2"/>
      <c r="H15" s="2"/>
      <c r="I15" s="2"/>
      <c r="J15" s="2"/>
      <c r="K15" s="2"/>
    </row>
    <row r="16" spans="1:20" x14ac:dyDescent="0.45">
      <c r="B16" s="2" t="s">
        <v>12</v>
      </c>
      <c r="C16" s="2"/>
      <c r="D16" s="2" t="s">
        <v>1</v>
      </c>
      <c r="E16" s="2"/>
      <c r="F16" s="2"/>
      <c r="G16" s="2"/>
      <c r="H16" s="2" t="s">
        <v>2</v>
      </c>
      <c r="I16" s="2"/>
      <c r="J16" s="2"/>
      <c r="K16" s="2"/>
    </row>
    <row r="17" spans="1:12" x14ac:dyDescent="0.45">
      <c r="A17" t="s">
        <v>0</v>
      </c>
      <c r="B17">
        <v>0</v>
      </c>
      <c r="C17">
        <v>1</v>
      </c>
      <c r="D17" s="1" t="s">
        <v>4</v>
      </c>
      <c r="E17" s="1" t="s">
        <v>5</v>
      </c>
      <c r="F17" s="1" t="s">
        <v>6</v>
      </c>
      <c r="G17" s="1" t="s">
        <v>7</v>
      </c>
      <c r="H17" s="1" t="s">
        <v>4</v>
      </c>
      <c r="I17" s="1" t="s">
        <v>5</v>
      </c>
      <c r="J17" s="1" t="s">
        <v>6</v>
      </c>
      <c r="K17" s="1" t="s">
        <v>7</v>
      </c>
      <c r="L17" s="1"/>
    </row>
    <row r="18" spans="1:12" x14ac:dyDescent="0.45">
      <c r="A18">
        <v>-40</v>
      </c>
      <c r="B18">
        <v>3.847</v>
      </c>
      <c r="C18">
        <v>0.99409999999999998</v>
      </c>
      <c r="D18">
        <v>6.4960000000000004</v>
      </c>
      <c r="E18">
        <v>3.9929999999999999</v>
      </c>
      <c r="F18">
        <v>4.4779999999999998</v>
      </c>
      <c r="G18">
        <v>1.988</v>
      </c>
      <c r="H18">
        <v>13.57</v>
      </c>
      <c r="I18">
        <v>6.6340000000000003</v>
      </c>
      <c r="J18">
        <v>1.5389999999999999</v>
      </c>
      <c r="K18">
        <v>0.76470000000000005</v>
      </c>
    </row>
    <row r="19" spans="1:12" x14ac:dyDescent="0.45">
      <c r="A19">
        <v>-20</v>
      </c>
      <c r="B19">
        <v>3.9790000000000001</v>
      </c>
      <c r="C19">
        <v>1.014</v>
      </c>
      <c r="D19">
        <v>6.5270000000000001</v>
      </c>
      <c r="E19">
        <v>4.1900000000000004</v>
      </c>
      <c r="F19">
        <v>4.6950000000000003</v>
      </c>
      <c r="G19">
        <v>2.0830000000000002</v>
      </c>
      <c r="H19">
        <v>13.85</v>
      </c>
      <c r="I19">
        <v>6.7119999999999997</v>
      </c>
      <c r="J19">
        <v>1.639</v>
      </c>
      <c r="K19">
        <v>0.78210000000000002</v>
      </c>
    </row>
    <row r="20" spans="1:12" x14ac:dyDescent="0.45">
      <c r="A20">
        <v>0</v>
      </c>
      <c r="B20">
        <v>4.2969999999999997</v>
      </c>
      <c r="C20">
        <v>1.1950000000000001</v>
      </c>
      <c r="D20">
        <v>6.5890000000000004</v>
      </c>
      <c r="E20">
        <v>4.681</v>
      </c>
      <c r="F20">
        <v>5.1639999999999997</v>
      </c>
      <c r="G20">
        <v>2.391</v>
      </c>
      <c r="H20">
        <v>14.5</v>
      </c>
      <c r="I20">
        <v>6.9379999999999997</v>
      </c>
      <c r="J20">
        <v>1.8680000000000001</v>
      </c>
      <c r="K20">
        <v>0.83730000000000004</v>
      </c>
    </row>
    <row r="21" spans="1:12" x14ac:dyDescent="0.45">
      <c r="A21">
        <v>20</v>
      </c>
      <c r="B21">
        <v>4.9829999999999997</v>
      </c>
      <c r="C21">
        <v>1.6140000000000001</v>
      </c>
      <c r="D21">
        <v>6.8049999999999997</v>
      </c>
      <c r="E21">
        <v>5.7629999999999999</v>
      </c>
      <c r="F21">
        <v>6.1559999999999997</v>
      </c>
      <c r="G21">
        <v>3.2269999999999999</v>
      </c>
      <c r="H21">
        <v>15.89</v>
      </c>
      <c r="I21">
        <v>7.5350000000000001</v>
      </c>
      <c r="J21">
        <v>2.4279999999999999</v>
      </c>
      <c r="K21">
        <v>0.9849</v>
      </c>
    </row>
    <row r="22" spans="1:12" x14ac:dyDescent="0.45">
      <c r="A22">
        <v>27</v>
      </c>
      <c r="B22">
        <v>5.359</v>
      </c>
      <c r="C22">
        <v>5.359</v>
      </c>
      <c r="D22">
        <v>6.9480000000000004</v>
      </c>
      <c r="E22">
        <v>6.3630000000000004</v>
      </c>
      <c r="F22">
        <v>6.6950000000000003</v>
      </c>
      <c r="G22">
        <v>3.7450000000000001</v>
      </c>
      <c r="H22">
        <v>16.649999999999999</v>
      </c>
      <c r="I22">
        <v>7.9050000000000002</v>
      </c>
      <c r="J22">
        <v>2.7690000000000001</v>
      </c>
      <c r="K22">
        <v>1.0880000000000001</v>
      </c>
    </row>
    <row r="23" spans="1:12" x14ac:dyDescent="0.45">
      <c r="A23">
        <v>40</v>
      </c>
      <c r="B23">
        <v>6.3179999999999996</v>
      </c>
      <c r="C23">
        <v>2.597</v>
      </c>
      <c r="D23">
        <v>7.3319999999999999</v>
      </c>
      <c r="E23">
        <v>7.907</v>
      </c>
      <c r="F23">
        <v>8.0809999999999995</v>
      </c>
      <c r="G23">
        <v>5.194</v>
      </c>
      <c r="H23">
        <v>18.57</v>
      </c>
      <c r="I23">
        <v>8.9410000000000007</v>
      </c>
      <c r="J23">
        <v>3.7240000000000002</v>
      </c>
      <c r="K23">
        <v>1.4039999999999999</v>
      </c>
    </row>
    <row r="24" spans="1:12" x14ac:dyDescent="0.45">
      <c r="A24">
        <v>60</v>
      </c>
      <c r="B24">
        <v>8.702</v>
      </c>
      <c r="C24">
        <v>4.6500000000000004</v>
      </c>
      <c r="D24">
        <v>8.3279999999999994</v>
      </c>
      <c r="E24">
        <v>11.97</v>
      </c>
      <c r="F24">
        <v>11.59</v>
      </c>
      <c r="G24">
        <v>9.3130000000000006</v>
      </c>
      <c r="H24">
        <v>23.36</v>
      </c>
      <c r="I24">
        <v>11.91</v>
      </c>
      <c r="J24">
        <v>6.4569999999999999</v>
      </c>
      <c r="K24">
        <v>2.3719999999999999</v>
      </c>
    </row>
    <row r="25" spans="1:12" x14ac:dyDescent="0.45">
      <c r="A25">
        <v>80</v>
      </c>
      <c r="B25">
        <v>12.67</v>
      </c>
      <c r="C25">
        <v>8.5760000000000005</v>
      </c>
      <c r="D25">
        <v>10.039999999999999</v>
      </c>
      <c r="E25">
        <v>18.350000000000001</v>
      </c>
      <c r="F25">
        <v>17.43</v>
      </c>
      <c r="G25">
        <v>17.149999999999999</v>
      </c>
      <c r="H25">
        <v>31.3</v>
      </c>
      <c r="I25">
        <v>17.61</v>
      </c>
      <c r="J25">
        <v>11.73</v>
      </c>
      <c r="K25">
        <v>4.3179999999999996</v>
      </c>
    </row>
    <row r="26" spans="1:12" x14ac:dyDescent="0.45">
      <c r="A26">
        <v>100</v>
      </c>
      <c r="B26">
        <v>18.89</v>
      </c>
      <c r="C26">
        <v>15.48</v>
      </c>
      <c r="D26">
        <v>12.8</v>
      </c>
      <c r="E26">
        <v>28.74</v>
      </c>
      <c r="F26">
        <v>26.74</v>
      </c>
      <c r="G26">
        <v>30.95</v>
      </c>
      <c r="H26">
        <v>43.76</v>
      </c>
      <c r="I26">
        <v>27.76</v>
      </c>
      <c r="J26">
        <v>21.19</v>
      </c>
      <c r="K26">
        <v>7.29</v>
      </c>
    </row>
    <row r="27" spans="1:12" x14ac:dyDescent="0.45">
      <c r="A27">
        <v>120</v>
      </c>
      <c r="B27">
        <v>28.19</v>
      </c>
      <c r="C27">
        <v>26.89</v>
      </c>
      <c r="D27">
        <v>17.11</v>
      </c>
      <c r="E27">
        <v>44.45</v>
      </c>
      <c r="F27">
        <v>40.869999999999997</v>
      </c>
      <c r="G27">
        <v>53.78</v>
      </c>
      <c r="H27">
        <v>62.38</v>
      </c>
      <c r="I27">
        <v>44.37</v>
      </c>
      <c r="J27">
        <v>37.340000000000003</v>
      </c>
      <c r="K27">
        <v>14.32</v>
      </c>
    </row>
  </sheetData>
  <mergeCells count="8">
    <mergeCell ref="R1:T1"/>
    <mergeCell ref="M1:O1"/>
    <mergeCell ref="B1:D1"/>
    <mergeCell ref="B16:C16"/>
    <mergeCell ref="D16:G16"/>
    <mergeCell ref="H16:K16"/>
    <mergeCell ref="H1:J1"/>
    <mergeCell ref="B15:K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rakshitapatil9591@outlook.com</cp:lastModifiedBy>
  <dcterms:created xsi:type="dcterms:W3CDTF">2026-03-31T09:15:31Z</dcterms:created>
  <dcterms:modified xsi:type="dcterms:W3CDTF">2026-04-01T17:59:12Z</dcterms:modified>
</cp:coreProperties>
</file>